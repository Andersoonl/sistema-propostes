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ersonlima/Documents/Projects Cursor/projeto-controle-producao/"/>
    </mc:Choice>
  </mc:AlternateContent>
  <xr:revisionPtr revIDLastSave="0" documentId="8_{D3F6E9C2-18F8-6145-9C24-8B661868193A}" xr6:coauthVersionLast="47" xr6:coauthVersionMax="47" xr10:uidLastSave="{00000000-0000-0000-0000-000000000000}"/>
  <bookViews>
    <workbookView xWindow="11400" yWindow="-20980" windowWidth="25600" windowHeight="21000" xr2:uid="{12138328-8069-7648-B7F0-EB53E9DB7199}"/>
  </bookViews>
  <sheets>
    <sheet name="UNIH8 HZ (custos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G17" i="1" s="1"/>
  <c r="D9" i="1"/>
  <c r="G13" i="1" s="1"/>
  <c r="E9" i="1"/>
  <c r="G14" i="1" s="1"/>
  <c r="F9" i="1"/>
  <c r="G15" i="1" s="1"/>
  <c r="G9" i="1"/>
  <c r="G16" i="1" s="1"/>
  <c r="H9" i="1"/>
  <c r="G18" i="1" s="1"/>
  <c r="I9" i="1"/>
  <c r="J9" i="1"/>
  <c r="F25" i="1" s="1"/>
  <c r="S17" i="1"/>
  <c r="T14" i="1" s="1"/>
  <c r="F20" i="1"/>
  <c r="F21" i="1"/>
  <c r="G24" i="1"/>
  <c r="T13" i="1" l="1"/>
  <c r="G20" i="1"/>
  <c r="H13" i="1" s="1"/>
  <c r="J15" i="1" s="1"/>
  <c r="J22" i="1" s="1"/>
  <c r="H23" i="1"/>
  <c r="T15" i="1"/>
  <c r="H16" i="1"/>
  <c r="T16" i="1"/>
  <c r="T12" i="1"/>
  <c r="T17" i="1" l="1"/>
</calcChain>
</file>

<file path=xl/sharedStrings.xml><?xml version="1.0" encoding="utf-8"?>
<sst xmlns="http://schemas.openxmlformats.org/spreadsheetml/2006/main" count="58" uniqueCount="41">
  <si>
    <t>Fita Arquear</t>
  </si>
  <si>
    <t>Pallet</t>
  </si>
  <si>
    <t>Plástico</t>
  </si>
  <si>
    <t>ACRESCIMO/m²</t>
  </si>
  <si>
    <t>MATERIAL EXTRA</t>
  </si>
  <si>
    <t>CUSTO M²</t>
  </si>
  <si>
    <t>Proporção de cimento</t>
  </si>
  <si>
    <t>TOTAL DO TRAÇO Kg/R$</t>
  </si>
  <si>
    <t>Água</t>
  </si>
  <si>
    <t>Aditivo</t>
  </si>
  <si>
    <t>Pigmento</t>
  </si>
  <si>
    <t>Agregado 3 (Brita 9,5")</t>
  </si>
  <si>
    <t>Agregado 2 (pó pedra)</t>
  </si>
  <si>
    <t>CUSTO DA PEÇA</t>
  </si>
  <si>
    <t>Agregado 1 (AREIA FINA)</t>
  </si>
  <si>
    <t>Cimento</t>
  </si>
  <si>
    <t>R$/Kg</t>
  </si>
  <si>
    <t>Kg</t>
  </si>
  <si>
    <t>MATERIAL</t>
  </si>
  <si>
    <t>TOTAL GERAL</t>
  </si>
  <si>
    <t>MATERIA PRIMA</t>
  </si>
  <si>
    <t>Brita 9,5"</t>
  </si>
  <si>
    <t>Pó pedra</t>
  </si>
  <si>
    <t>Areia Fina</t>
  </si>
  <si>
    <t>KG</t>
  </si>
  <si>
    <t>Peso médio de peça</t>
  </si>
  <si>
    <t>Pallet/Rolo</t>
  </si>
  <si>
    <t>ML/R$</t>
  </si>
  <si>
    <t>VALOR DO QUILO DO MATERIAL/R$</t>
  </si>
  <si>
    <t>peças/m²</t>
  </si>
  <si>
    <t>ciclo/traço</t>
  </si>
  <si>
    <t>Pçs/ciclo</t>
  </si>
  <si>
    <t>Fita Arq.</t>
  </si>
  <si>
    <t>Areia fina</t>
  </si>
  <si>
    <t>PRODUÇÃO</t>
  </si>
  <si>
    <t>Rolo/R$</t>
  </si>
  <si>
    <t>Kg/R$</t>
  </si>
  <si>
    <t>L/R$</t>
  </si>
  <si>
    <t>Ton/R$</t>
  </si>
  <si>
    <t>Densidade Média</t>
  </si>
  <si>
    <t>UNIH8 - 35MPA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</si>
</sst>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\ #,##0.00"/>
    <numFmt numFmtId="165" formatCode="0.0"/>
    <numFmt numFmtId="166" formatCode="0.00000"/>
    <numFmt numFmtId="167" formatCode="0.000"/>
    <numFmt numFmtId="168" formatCode="#,##0.0000"/>
  </numFmts>
  <fonts count="8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2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4" fontId="0" fillId="0" borderId="1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 vertical="center"/>
    </xf>
    <xf numFmtId="164" fontId="1" fillId="0" borderId="22" xfId="0" applyNumberFormat="1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164" fontId="1" fillId="0" borderId="32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164" fontId="1" fillId="0" borderId="36" xfId="0" applyNumberFormat="1" applyFont="1" applyBorder="1" applyAlignment="1">
      <alignment horizontal="center" vertical="center"/>
    </xf>
    <xf numFmtId="164" fontId="1" fillId="0" borderId="37" xfId="0" applyNumberFormat="1" applyFont="1" applyBorder="1" applyAlignment="1">
      <alignment horizontal="center" vertical="center"/>
    </xf>
    <xf numFmtId="164" fontId="1" fillId="0" borderId="38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39" xfId="0" applyNumberFormat="1" applyFont="1" applyBorder="1" applyAlignment="1">
      <alignment horizontal="center" vertical="center"/>
    </xf>
    <xf numFmtId="164" fontId="2" fillId="0" borderId="40" xfId="0" applyNumberFormat="1" applyFont="1" applyBorder="1" applyAlignment="1">
      <alignment horizontal="center"/>
    </xf>
    <xf numFmtId="1" fontId="0" fillId="2" borderId="41" xfId="0" applyNumberFormat="1" applyFill="1" applyBorder="1" applyAlignment="1" applyProtection="1">
      <alignment horizontal="center"/>
      <protection locked="0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164" fontId="0" fillId="0" borderId="40" xfId="0" applyNumberFormat="1" applyBorder="1" applyAlignment="1">
      <alignment horizontal="center"/>
    </xf>
    <xf numFmtId="165" fontId="0" fillId="2" borderId="41" xfId="0" applyNumberFormat="1" applyFill="1" applyBorder="1" applyAlignment="1" applyProtection="1">
      <alignment horizontal="center"/>
      <protection locked="0"/>
    </xf>
    <xf numFmtId="164" fontId="0" fillId="0" borderId="14" xfId="0" applyNumberFormat="1" applyBorder="1" applyAlignment="1">
      <alignment horizontal="center"/>
    </xf>
    <xf numFmtId="165" fontId="0" fillId="2" borderId="43" xfId="0" applyNumberFormat="1" applyFill="1" applyBorder="1" applyAlignment="1" applyProtection="1">
      <alignment horizontal="center"/>
      <protection locked="0"/>
    </xf>
    <xf numFmtId="10" fontId="2" fillId="3" borderId="0" xfId="0" applyNumberFormat="1" applyFont="1" applyFill="1"/>
    <xf numFmtId="164" fontId="1" fillId="0" borderId="17" xfId="0" applyNumberFormat="1" applyFont="1" applyBorder="1" applyAlignment="1">
      <alignment horizontal="center" vertical="center"/>
    </xf>
    <xf numFmtId="164" fontId="1" fillId="0" borderId="44" xfId="0" applyNumberFormat="1" applyFont="1" applyBorder="1" applyAlignment="1">
      <alignment horizontal="center" vertical="center"/>
    </xf>
    <xf numFmtId="1" fontId="0" fillId="2" borderId="43" xfId="0" applyNumberFormat="1" applyFill="1" applyBorder="1" applyAlignment="1" applyProtection="1">
      <alignment horizontal="center"/>
      <protection locked="0"/>
    </xf>
    <xf numFmtId="9" fontId="0" fillId="0" borderId="45" xfId="0" applyNumberFormat="1" applyBorder="1" applyAlignment="1">
      <alignment horizontal="center"/>
    </xf>
    <xf numFmtId="0" fontId="0" fillId="0" borderId="46" xfId="0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164" fontId="1" fillId="0" borderId="48" xfId="0" applyNumberFormat="1" applyFont="1" applyBorder="1" applyAlignment="1">
      <alignment horizontal="center" vertical="center"/>
    </xf>
    <xf numFmtId="164" fontId="1" fillId="0" borderId="49" xfId="0" applyNumberFormat="1" applyFont="1" applyBorder="1" applyAlignment="1">
      <alignment horizontal="center" vertical="center"/>
    </xf>
    <xf numFmtId="164" fontId="1" fillId="0" borderId="50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" fontId="3" fillId="2" borderId="43" xfId="0" applyNumberFormat="1" applyFont="1" applyFill="1" applyBorder="1" applyAlignment="1" applyProtection="1">
      <alignment horizontal="center"/>
      <protection locked="0"/>
    </xf>
    <xf numFmtId="9" fontId="0" fillId="0" borderId="51" xfId="0" applyNumberForma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164" fontId="1" fillId="0" borderId="54" xfId="0" applyNumberFormat="1" applyFont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2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9" fontId="0" fillId="0" borderId="60" xfId="0" applyNumberForma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4" fillId="3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/>
    </xf>
    <xf numFmtId="0" fontId="2" fillId="2" borderId="64" xfId="0" applyFont="1" applyFill="1" applyBorder="1" applyAlignment="1">
      <alignment horizontal="center"/>
    </xf>
    <xf numFmtId="0" fontId="2" fillId="2" borderId="65" xfId="0" applyFon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66" xfId="0" applyBorder="1" applyAlignment="1">
      <alignment horizontal="center" vertical="center"/>
    </xf>
    <xf numFmtId="167" fontId="2" fillId="0" borderId="67" xfId="0" applyNumberFormat="1" applyFont="1" applyBorder="1" applyAlignment="1">
      <alignment horizontal="center" vertical="center"/>
    </xf>
    <xf numFmtId="4" fontId="2" fillId="0" borderId="68" xfId="0" applyNumberFormat="1" applyFont="1" applyBorder="1" applyAlignment="1">
      <alignment horizontal="center" vertical="center" wrapText="1"/>
    </xf>
    <xf numFmtId="168" fontId="0" fillId="2" borderId="67" xfId="0" applyNumberFormat="1" applyFill="1" applyBorder="1" applyAlignment="1" applyProtection="1">
      <alignment horizontal="center"/>
      <protection locked="0"/>
    </xf>
    <xf numFmtId="2" fontId="0" fillId="2" borderId="33" xfId="0" applyNumberFormat="1" applyFill="1" applyBorder="1" applyAlignment="1" applyProtection="1">
      <alignment horizontal="center" vertical="center"/>
      <protection locked="0"/>
    </xf>
    <xf numFmtId="0" fontId="0" fillId="0" borderId="14" xfId="0" applyBorder="1" applyAlignment="1">
      <alignment horizontal="center" vertical="center"/>
    </xf>
    <xf numFmtId="167" fontId="2" fillId="0" borderId="43" xfId="0" applyNumberFormat="1" applyFont="1" applyBorder="1" applyAlignment="1">
      <alignment horizontal="center" vertical="center"/>
    </xf>
    <xf numFmtId="4" fontId="2" fillId="0" borderId="69" xfId="0" applyNumberFormat="1" applyFont="1" applyBorder="1" applyAlignment="1">
      <alignment horizontal="center" vertical="center" wrapText="1"/>
    </xf>
    <xf numFmtId="0" fontId="0" fillId="0" borderId="70" xfId="0" applyBorder="1" applyAlignment="1">
      <alignment horizontal="center"/>
    </xf>
    <xf numFmtId="0" fontId="0" fillId="0" borderId="71" xfId="0" applyBorder="1" applyAlignment="1">
      <alignment horizontal="center"/>
    </xf>
    <xf numFmtId="0" fontId="2" fillId="0" borderId="72" xfId="0" applyFont="1" applyBorder="1" applyAlignment="1">
      <alignment horizontal="center"/>
    </xf>
    <xf numFmtId="2" fontId="0" fillId="2" borderId="39" xfId="0" applyNumberFormat="1" applyFill="1" applyBorder="1" applyAlignment="1" applyProtection="1">
      <alignment horizontal="center" vertical="center"/>
      <protection locked="0"/>
    </xf>
    <xf numFmtId="0" fontId="0" fillId="0" borderId="73" xfId="0" applyBorder="1" applyAlignment="1">
      <alignment horizontal="center" vertical="center"/>
    </xf>
    <xf numFmtId="167" fontId="2" fillId="0" borderId="72" xfId="0" applyNumberFormat="1" applyFont="1" applyBorder="1" applyAlignment="1">
      <alignment horizontal="center" vertical="center"/>
    </xf>
    <xf numFmtId="4" fontId="2" fillId="0" borderId="74" xfId="0" applyNumberFormat="1" applyFont="1" applyBorder="1" applyAlignment="1">
      <alignment horizontal="center" vertical="center" wrapText="1"/>
    </xf>
    <xf numFmtId="0" fontId="2" fillId="0" borderId="7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0" xfId="0" applyFont="1" applyBorder="1" applyAlignment="1">
      <alignment horizontal="center"/>
    </xf>
    <xf numFmtId="0" fontId="2" fillId="0" borderId="75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3" fontId="0" fillId="2" borderId="27" xfId="0" applyNumberFormat="1" applyFill="1" applyBorder="1" applyAlignment="1" applyProtection="1">
      <alignment horizontal="center"/>
      <protection locked="0"/>
    </xf>
    <xf numFmtId="4" fontId="0" fillId="2" borderId="70" xfId="0" applyNumberFormat="1" applyFill="1" applyBorder="1" applyAlignment="1" applyProtection="1">
      <alignment horizontal="center"/>
      <protection locked="0"/>
    </xf>
    <xf numFmtId="3" fontId="0" fillId="2" borderId="71" xfId="0" applyNumberFormat="1" applyFill="1" applyBorder="1" applyAlignment="1" applyProtection="1">
      <alignment horizontal="center"/>
      <protection locked="0"/>
    </xf>
    <xf numFmtId="168" fontId="0" fillId="2" borderId="70" xfId="0" applyNumberFormat="1" applyFill="1" applyBorder="1" applyAlignment="1" applyProtection="1">
      <alignment horizontal="center"/>
      <protection locked="0"/>
    </xf>
    <xf numFmtId="168" fontId="0" fillId="2" borderId="41" xfId="0" applyNumberFormat="1" applyFill="1" applyBorder="1" applyAlignment="1" applyProtection="1">
      <alignment horizontal="center"/>
      <protection locked="0"/>
    </xf>
    <xf numFmtId="4" fontId="0" fillId="4" borderId="1" xfId="0" applyNumberFormat="1" applyFill="1" applyBorder="1" applyAlignment="1" applyProtection="1">
      <alignment horizontal="center"/>
      <protection locked="0"/>
    </xf>
    <xf numFmtId="4" fontId="0" fillId="4" borderId="2" xfId="0" applyNumberFormat="1" applyFill="1" applyBorder="1" applyAlignment="1" applyProtection="1">
      <alignment horizontal="center"/>
      <protection locked="0"/>
    </xf>
    <xf numFmtId="4" fontId="0" fillId="4" borderId="76" xfId="0" applyNumberFormat="1" applyFill="1" applyBorder="1" applyAlignment="1" applyProtection="1">
      <alignment horizontal="center"/>
      <protection locked="0"/>
    </xf>
    <xf numFmtId="4" fontId="0" fillId="4" borderId="67" xfId="0" applyNumberFormat="1" applyFill="1" applyBorder="1" applyAlignment="1" applyProtection="1">
      <alignment horizontal="center"/>
      <protection locked="0"/>
    </xf>
    <xf numFmtId="2" fontId="0" fillId="2" borderId="44" xfId="0" applyNumberFormat="1" applyFill="1" applyBorder="1" applyAlignment="1" applyProtection="1">
      <alignment horizontal="center" vertical="center"/>
      <protection locked="0"/>
    </xf>
    <xf numFmtId="0" fontId="2" fillId="0" borderId="77" xfId="0" applyFont="1" applyBorder="1" applyAlignment="1">
      <alignment horizontal="center"/>
    </xf>
    <xf numFmtId="0" fontId="5" fillId="0" borderId="78" xfId="0" applyFont="1" applyBorder="1" applyAlignment="1">
      <alignment horizontal="center"/>
    </xf>
    <xf numFmtId="0" fontId="2" fillId="0" borderId="79" xfId="0" applyFont="1" applyBorder="1" applyAlignment="1">
      <alignment horizontal="center"/>
    </xf>
    <xf numFmtId="0" fontId="2" fillId="0" borderId="70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wrapText="1"/>
    </xf>
    <xf numFmtId="0" fontId="2" fillId="0" borderId="27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6" fillId="0" borderId="44" xfId="0" applyFont="1" applyBorder="1" applyAlignment="1">
      <alignment horizontal="center" wrapText="1"/>
    </xf>
    <xf numFmtId="0" fontId="7" fillId="0" borderId="27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7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E41BC-4389-7147-A119-C533D00C9704}">
  <dimension ref="B1:T25"/>
  <sheetViews>
    <sheetView tabSelected="1" zoomScale="110" zoomScaleNormal="110" workbookViewId="0">
      <selection activeCell="B2" sqref="B2:M25"/>
    </sheetView>
  </sheetViews>
  <sheetFormatPr baseColWidth="10" defaultColWidth="8.83203125" defaultRowHeight="15" x14ac:dyDescent="0.2"/>
  <cols>
    <col min="1" max="1" width="9.6640625" customWidth="1"/>
    <col min="3" max="3" width="11.1640625" bestFit="1" customWidth="1"/>
    <col min="4" max="6" width="9.5" bestFit="1" customWidth="1"/>
    <col min="7" max="7" width="10" bestFit="1" customWidth="1"/>
    <col min="8" max="8" width="9.5" bestFit="1" customWidth="1"/>
    <col min="9" max="10" width="11" bestFit="1" customWidth="1"/>
    <col min="14" max="18" width="0" hidden="1" customWidth="1"/>
    <col min="19" max="19" width="9.1640625" hidden="1" customWidth="1"/>
    <col min="20" max="21" width="0" hidden="1" customWidth="1"/>
  </cols>
  <sheetData>
    <row r="1" spans="2:20" ht="16" thickBot="1" x14ac:dyDescent="0.25"/>
    <row r="2" spans="2:20" ht="22" thickBot="1" x14ac:dyDescent="0.3">
      <c r="B2" s="151" t="s">
        <v>40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49"/>
    </row>
    <row r="3" spans="2:20" ht="16" thickBot="1" x14ac:dyDescent="0.25">
      <c r="B3" s="103"/>
      <c r="C3" s="103"/>
      <c r="D3" s="103"/>
      <c r="E3" s="103"/>
      <c r="F3" s="103"/>
      <c r="G3" s="103"/>
      <c r="H3" s="103"/>
      <c r="I3" s="103"/>
      <c r="J3" s="103"/>
    </row>
    <row r="4" spans="2:20" ht="16" thickBot="1" x14ac:dyDescent="0.25">
      <c r="B4" s="148" t="s">
        <v>39</v>
      </c>
      <c r="C4" s="147" t="s">
        <v>38</v>
      </c>
      <c r="D4" s="146"/>
      <c r="E4" s="146"/>
      <c r="F4" s="146"/>
      <c r="G4" s="145"/>
      <c r="H4" s="122" t="s">
        <v>37</v>
      </c>
      <c r="I4" s="144" t="s">
        <v>36</v>
      </c>
      <c r="J4" s="122" t="s">
        <v>35</v>
      </c>
      <c r="K4" s="143" t="s">
        <v>34</v>
      </c>
      <c r="L4" s="143"/>
      <c r="M4" s="142"/>
    </row>
    <row r="5" spans="2:20" ht="16" thickBot="1" x14ac:dyDescent="0.25">
      <c r="B5" s="141"/>
      <c r="C5" s="115" t="s">
        <v>10</v>
      </c>
      <c r="D5" s="115" t="s">
        <v>15</v>
      </c>
      <c r="E5" s="115" t="s">
        <v>33</v>
      </c>
      <c r="F5" s="115" t="s">
        <v>22</v>
      </c>
      <c r="G5" s="115" t="s">
        <v>21</v>
      </c>
      <c r="H5" s="90" t="s">
        <v>9</v>
      </c>
      <c r="I5" s="140" t="s">
        <v>2</v>
      </c>
      <c r="J5" s="139" t="s">
        <v>32</v>
      </c>
      <c r="K5" s="138" t="s">
        <v>31</v>
      </c>
      <c r="L5" s="137" t="s">
        <v>30</v>
      </c>
      <c r="M5" s="136" t="s">
        <v>29</v>
      </c>
      <c r="Q5">
        <v>24.67</v>
      </c>
    </row>
    <row r="6" spans="2:20" ht="16" thickBot="1" x14ac:dyDescent="0.25">
      <c r="B6" s="135">
        <v>1.48</v>
      </c>
      <c r="C6" s="108"/>
      <c r="D6" s="134">
        <v>545</v>
      </c>
      <c r="E6" s="133">
        <v>33.799999999999997</v>
      </c>
      <c r="F6" s="132">
        <v>42.5</v>
      </c>
      <c r="G6" s="131">
        <v>73</v>
      </c>
      <c r="H6" s="130">
        <v>5.2</v>
      </c>
      <c r="I6" s="129">
        <v>60</v>
      </c>
      <c r="J6" s="129">
        <v>198</v>
      </c>
      <c r="K6" s="128">
        <v>16</v>
      </c>
      <c r="L6" s="127">
        <v>19.5</v>
      </c>
      <c r="M6" s="126">
        <v>40</v>
      </c>
    </row>
    <row r="7" spans="2:20" ht="16" thickBot="1" x14ac:dyDescent="0.25">
      <c r="B7" s="116"/>
      <c r="C7" s="125" t="s">
        <v>28</v>
      </c>
      <c r="D7" s="124"/>
      <c r="E7" s="124"/>
      <c r="F7" s="124"/>
      <c r="G7" s="123"/>
      <c r="H7" s="122" t="s">
        <v>27</v>
      </c>
      <c r="I7" s="121" t="s">
        <v>26</v>
      </c>
      <c r="J7" s="120" t="s">
        <v>26</v>
      </c>
      <c r="K7" s="119" t="s">
        <v>25</v>
      </c>
      <c r="L7" s="118">
        <v>4.4000000000000004</v>
      </c>
      <c r="M7" s="117" t="s">
        <v>24</v>
      </c>
    </row>
    <row r="8" spans="2:20" ht="16" thickBot="1" x14ac:dyDescent="0.25">
      <c r="B8" s="116"/>
      <c r="C8" s="115" t="s">
        <v>10</v>
      </c>
      <c r="D8" s="115" t="s">
        <v>15</v>
      </c>
      <c r="E8" s="115" t="s">
        <v>23</v>
      </c>
      <c r="F8" s="115" t="s">
        <v>22</v>
      </c>
      <c r="G8" s="115" t="s">
        <v>21</v>
      </c>
      <c r="H8" s="115" t="s">
        <v>9</v>
      </c>
      <c r="I8" s="114">
        <v>30</v>
      </c>
      <c r="J8" s="113">
        <v>190</v>
      </c>
      <c r="K8" s="112"/>
      <c r="L8" s="111"/>
      <c r="M8" s="110"/>
    </row>
    <row r="9" spans="2:20" ht="16" thickBot="1" x14ac:dyDescent="0.25">
      <c r="B9" s="109"/>
      <c r="C9" s="108">
        <f>C6/1000</f>
        <v>0</v>
      </c>
      <c r="D9" s="108">
        <f>D6/1000</f>
        <v>0.54500000000000004</v>
      </c>
      <c r="E9" s="108">
        <f>E6/1000</f>
        <v>3.3799999999999997E-2</v>
      </c>
      <c r="F9" s="108">
        <f>F6/1000</f>
        <v>4.2500000000000003E-2</v>
      </c>
      <c r="G9" s="108">
        <f>G6/1000</f>
        <v>7.2999999999999995E-2</v>
      </c>
      <c r="H9" s="108">
        <f>H6/1000</f>
        <v>5.1999999999999998E-3</v>
      </c>
      <c r="I9" s="108">
        <f>I6/I8</f>
        <v>2</v>
      </c>
      <c r="J9" s="108">
        <f>J6/J8</f>
        <v>1.0421052631578946</v>
      </c>
      <c r="K9" s="107"/>
      <c r="L9" s="106"/>
      <c r="M9" s="105"/>
    </row>
    <row r="10" spans="2:20" ht="16" thickBot="1" x14ac:dyDescent="0.25">
      <c r="B10" s="103"/>
      <c r="C10" s="103"/>
      <c r="D10" s="104"/>
      <c r="E10" s="104"/>
      <c r="F10" s="104"/>
      <c r="G10" s="103"/>
      <c r="H10" s="103"/>
      <c r="I10" s="103"/>
      <c r="J10" s="103"/>
    </row>
    <row r="11" spans="2:20" ht="16" thickBot="1" x14ac:dyDescent="0.25">
      <c r="B11" s="102" t="s">
        <v>20</v>
      </c>
      <c r="C11" s="101"/>
      <c r="D11" s="101"/>
      <c r="E11" s="101"/>
      <c r="F11" s="101"/>
      <c r="G11" s="101"/>
      <c r="H11" s="101"/>
      <c r="I11" s="100"/>
      <c r="J11" s="99" t="s">
        <v>19</v>
      </c>
      <c r="K11" s="98"/>
      <c r="L11" s="98"/>
      <c r="M11" s="97"/>
    </row>
    <row r="12" spans="2:20" ht="16" thickBot="1" x14ac:dyDescent="0.25">
      <c r="B12" s="93" t="s">
        <v>18</v>
      </c>
      <c r="C12" s="92"/>
      <c r="D12" s="92"/>
      <c r="E12" s="91"/>
      <c r="F12" s="90" t="s">
        <v>17</v>
      </c>
      <c r="G12" s="89" t="s">
        <v>16</v>
      </c>
      <c r="H12" s="88" t="s">
        <v>13</v>
      </c>
      <c r="I12" s="87"/>
      <c r="J12" s="86"/>
      <c r="K12" s="85"/>
      <c r="L12" s="85"/>
      <c r="M12" s="84"/>
      <c r="O12" s="96" t="s">
        <v>15</v>
      </c>
      <c r="P12" s="95"/>
      <c r="Q12" s="95"/>
      <c r="R12" s="95"/>
      <c r="S12" s="62">
        <v>196</v>
      </c>
      <c r="T12" s="94">
        <f>S12/S17</f>
        <v>0.14040114613180515</v>
      </c>
    </row>
    <row r="13" spans="2:20" ht="15" customHeight="1" thickBot="1" x14ac:dyDescent="0.25">
      <c r="B13" s="83" t="s">
        <v>15</v>
      </c>
      <c r="C13" s="82"/>
      <c r="D13" s="82"/>
      <c r="E13" s="81"/>
      <c r="F13" s="62">
        <v>192</v>
      </c>
      <c r="G13" s="57">
        <f>F13*D9</f>
        <v>104.64000000000001</v>
      </c>
      <c r="H13" s="80">
        <f>(G20/(L6*K6))+(G18/(L6*K6))</f>
        <v>0.51914743589743595</v>
      </c>
      <c r="I13" s="60"/>
      <c r="J13" s="79"/>
      <c r="K13" s="78"/>
      <c r="L13" s="78"/>
      <c r="M13" s="77"/>
      <c r="O13" s="75" t="s">
        <v>14</v>
      </c>
      <c r="P13" s="74"/>
      <c r="Q13" s="74"/>
      <c r="R13" s="74"/>
      <c r="S13" s="62">
        <v>400</v>
      </c>
      <c r="T13" s="73">
        <f>S13/S17</f>
        <v>0.28653295128939826</v>
      </c>
    </row>
    <row r="14" spans="2:20" ht="15.75" customHeight="1" thickBot="1" x14ac:dyDescent="0.25">
      <c r="B14" s="54" t="s">
        <v>14</v>
      </c>
      <c r="C14" s="53"/>
      <c r="D14" s="53"/>
      <c r="E14" s="52"/>
      <c r="F14" s="62">
        <v>420</v>
      </c>
      <c r="G14" s="57">
        <f>F14*E9</f>
        <v>14.195999999999998</v>
      </c>
      <c r="H14" s="76"/>
      <c r="I14" s="38"/>
      <c r="J14" s="37" t="s">
        <v>13</v>
      </c>
      <c r="K14" s="36"/>
      <c r="L14" s="36"/>
      <c r="M14" s="35"/>
      <c r="O14" s="75" t="s">
        <v>12</v>
      </c>
      <c r="P14" s="74"/>
      <c r="Q14" s="74"/>
      <c r="R14" s="74"/>
      <c r="S14" s="72">
        <v>600</v>
      </c>
      <c r="T14" s="73">
        <f>S14/S17</f>
        <v>0.42979942693409739</v>
      </c>
    </row>
    <row r="15" spans="2:20" ht="15.75" customHeight="1" thickBot="1" x14ac:dyDescent="0.25">
      <c r="B15" s="54" t="s">
        <v>12</v>
      </c>
      <c r="C15" s="53"/>
      <c r="D15" s="53"/>
      <c r="E15" s="52"/>
      <c r="F15" s="72">
        <v>620</v>
      </c>
      <c r="G15" s="57">
        <f>F15*F9</f>
        <v>26.35</v>
      </c>
      <c r="H15" s="71" t="s">
        <v>5</v>
      </c>
      <c r="I15" s="70"/>
      <c r="J15" s="69">
        <f>H13+(H23/40)</f>
        <v>0.53924100314889789</v>
      </c>
      <c r="K15" s="68"/>
      <c r="L15" s="68"/>
      <c r="M15" s="67"/>
      <c r="O15" s="75" t="s">
        <v>11</v>
      </c>
      <c r="P15" s="74"/>
      <c r="Q15" s="74"/>
      <c r="R15" s="74"/>
      <c r="S15" s="62">
        <v>200</v>
      </c>
      <c r="T15" s="73">
        <f>S15/S17</f>
        <v>0.14326647564469913</v>
      </c>
    </row>
    <row r="16" spans="2:20" ht="15" customHeight="1" thickBot="1" x14ac:dyDescent="0.25">
      <c r="B16" s="54" t="s">
        <v>11</v>
      </c>
      <c r="C16" s="53"/>
      <c r="D16" s="53"/>
      <c r="E16" s="52"/>
      <c r="F16" s="62">
        <v>220</v>
      </c>
      <c r="G16" s="57">
        <f>F16*G9</f>
        <v>16.059999999999999</v>
      </c>
      <c r="H16" s="61">
        <f>H13*M6</f>
        <v>20.765897435897436</v>
      </c>
      <c r="I16" s="60"/>
      <c r="J16" s="13"/>
      <c r="K16" s="12"/>
      <c r="L16" s="12"/>
      <c r="M16" s="11"/>
      <c r="O16" s="66" t="s">
        <v>10</v>
      </c>
      <c r="P16" s="65"/>
      <c r="Q16" s="65"/>
      <c r="R16" s="65"/>
      <c r="S16" s="64">
        <v>0</v>
      </c>
      <c r="T16" s="63">
        <f>S16/S17</f>
        <v>0</v>
      </c>
    </row>
    <row r="17" spans="2:20" ht="15" customHeight="1" x14ac:dyDescent="0.2">
      <c r="B17" s="54" t="s">
        <v>10</v>
      </c>
      <c r="C17" s="53"/>
      <c r="D17" s="53"/>
      <c r="E17" s="52"/>
      <c r="F17" s="58">
        <v>0</v>
      </c>
      <c r="G17" s="57">
        <f>F17*C9</f>
        <v>0</v>
      </c>
      <c r="H17" s="49"/>
      <c r="I17" s="48"/>
      <c r="J17" s="13"/>
      <c r="K17" s="12"/>
      <c r="L17" s="12"/>
      <c r="M17" s="11"/>
      <c r="S17">
        <f>SUM(S12:S16)</f>
        <v>1396</v>
      </c>
      <c r="T17" s="59">
        <f>SUM(T12:T16)</f>
        <v>1</v>
      </c>
    </row>
    <row r="18" spans="2:20" ht="15" customHeight="1" x14ac:dyDescent="0.2">
      <c r="B18" s="20" t="s">
        <v>9</v>
      </c>
      <c r="C18" s="19"/>
      <c r="D18" s="19"/>
      <c r="E18" s="18"/>
      <c r="F18" s="56">
        <v>70</v>
      </c>
      <c r="G18" s="55">
        <f>F18*H9</f>
        <v>0.36399999999999999</v>
      </c>
      <c r="H18" s="49"/>
      <c r="I18" s="48"/>
      <c r="J18" s="47"/>
      <c r="K18" s="46"/>
      <c r="L18" s="46"/>
      <c r="M18" s="45"/>
    </row>
    <row r="19" spans="2:20" ht="15" customHeight="1" x14ac:dyDescent="0.2">
      <c r="B19" s="20" t="s">
        <v>8</v>
      </c>
      <c r="C19" s="19"/>
      <c r="D19" s="19"/>
      <c r="E19" s="18"/>
      <c r="F19" s="56">
        <v>60</v>
      </c>
      <c r="G19" s="55">
        <v>0</v>
      </c>
      <c r="H19" s="49"/>
      <c r="I19" s="48"/>
      <c r="J19" s="47"/>
      <c r="K19" s="46"/>
      <c r="L19" s="46"/>
      <c r="M19" s="45"/>
    </row>
    <row r="20" spans="2:20" ht="15.75" customHeight="1" thickBot="1" x14ac:dyDescent="0.25">
      <c r="B20" s="54" t="s">
        <v>7</v>
      </c>
      <c r="C20" s="53"/>
      <c r="D20" s="53"/>
      <c r="E20" s="52"/>
      <c r="F20" s="51">
        <f>SUM(F13:F17,F19)</f>
        <v>1512</v>
      </c>
      <c r="G20" s="50">
        <f>SUM(G13:G18)</f>
        <v>161.61000000000001</v>
      </c>
      <c r="H20" s="49"/>
      <c r="I20" s="48"/>
      <c r="J20" s="47"/>
      <c r="K20" s="46"/>
      <c r="L20" s="46"/>
      <c r="M20" s="45"/>
    </row>
    <row r="21" spans="2:20" ht="15.75" customHeight="1" thickBot="1" x14ac:dyDescent="0.25">
      <c r="B21" s="44" t="s">
        <v>6</v>
      </c>
      <c r="C21" s="43"/>
      <c r="D21" s="43"/>
      <c r="E21" s="42"/>
      <c r="F21" s="41">
        <f>SUM(F14:F17,F19)/F13</f>
        <v>6.875</v>
      </c>
      <c r="G21" s="40"/>
      <c r="H21" s="39"/>
      <c r="I21" s="38"/>
      <c r="J21" s="37" t="s">
        <v>5</v>
      </c>
      <c r="K21" s="36"/>
      <c r="L21" s="36"/>
      <c r="M21" s="35"/>
    </row>
    <row r="22" spans="2:20" ht="16" thickBot="1" x14ac:dyDescent="0.25">
      <c r="B22" s="34" t="s">
        <v>4</v>
      </c>
      <c r="C22" s="32"/>
      <c r="D22" s="32"/>
      <c r="E22" s="32"/>
      <c r="F22" s="32"/>
      <c r="G22" s="33"/>
      <c r="H22" s="32" t="s">
        <v>3</v>
      </c>
      <c r="I22" s="31"/>
      <c r="J22" s="30">
        <f>J15*M6</f>
        <v>21.569640125955914</v>
      </c>
      <c r="K22" s="29"/>
      <c r="L22" s="29"/>
      <c r="M22" s="28"/>
    </row>
    <row r="23" spans="2:20" x14ac:dyDescent="0.2">
      <c r="B23" s="27" t="s">
        <v>2</v>
      </c>
      <c r="C23" s="26"/>
      <c r="D23" s="26"/>
      <c r="E23" s="25"/>
      <c r="F23" s="24">
        <v>0</v>
      </c>
      <c r="G23" s="23"/>
      <c r="H23" s="22">
        <f>F23+G24+F25</f>
        <v>0.80374269005847954</v>
      </c>
      <c r="I23" s="21"/>
      <c r="J23" s="13"/>
      <c r="K23" s="12"/>
      <c r="L23" s="12"/>
      <c r="M23" s="11"/>
    </row>
    <row r="24" spans="2:20" x14ac:dyDescent="0.2">
      <c r="B24" s="20" t="s">
        <v>1</v>
      </c>
      <c r="C24" s="19"/>
      <c r="D24" s="19"/>
      <c r="E24" s="18"/>
      <c r="F24" s="17">
        <v>8</v>
      </c>
      <c r="G24" s="16">
        <f>F24/11.25</f>
        <v>0.71111111111111114</v>
      </c>
      <c r="H24" s="15"/>
      <c r="I24" s="14"/>
      <c r="J24" s="13"/>
      <c r="K24" s="12"/>
      <c r="L24" s="12"/>
      <c r="M24" s="11"/>
    </row>
    <row r="25" spans="2:20" ht="16" thickBot="1" x14ac:dyDescent="0.25">
      <c r="B25" s="10" t="s">
        <v>0</v>
      </c>
      <c r="C25" s="9"/>
      <c r="D25" s="9"/>
      <c r="E25" s="8"/>
      <c r="F25" s="7">
        <f>J9/11.25</f>
        <v>9.2631578947368412E-2</v>
      </c>
      <c r="G25" s="6"/>
      <c r="H25" s="5"/>
      <c r="I25" s="4"/>
      <c r="J25" s="3"/>
      <c r="K25" s="2"/>
      <c r="L25" s="2"/>
      <c r="M25" s="1"/>
    </row>
  </sheetData>
  <mergeCells count="43">
    <mergeCell ref="B2:M2"/>
    <mergeCell ref="B4:B5"/>
    <mergeCell ref="C4:G4"/>
    <mergeCell ref="K4:M4"/>
    <mergeCell ref="B6:B9"/>
    <mergeCell ref="C7:G7"/>
    <mergeCell ref="K7:K9"/>
    <mergeCell ref="L7:L9"/>
    <mergeCell ref="M7:M9"/>
    <mergeCell ref="B11:I11"/>
    <mergeCell ref="J11:M13"/>
    <mergeCell ref="B12:E12"/>
    <mergeCell ref="H12:I12"/>
    <mergeCell ref="O12:R12"/>
    <mergeCell ref="B13:E13"/>
    <mergeCell ref="H13:I14"/>
    <mergeCell ref="O13:R13"/>
    <mergeCell ref="B14:E14"/>
    <mergeCell ref="J14:M14"/>
    <mergeCell ref="O14:R14"/>
    <mergeCell ref="B15:E15"/>
    <mergeCell ref="H15:I15"/>
    <mergeCell ref="J15:M20"/>
    <mergeCell ref="O15:R15"/>
    <mergeCell ref="B16:E16"/>
    <mergeCell ref="H16:I21"/>
    <mergeCell ref="O16:R16"/>
    <mergeCell ref="B17:E17"/>
    <mergeCell ref="B18:E18"/>
    <mergeCell ref="B19:E19"/>
    <mergeCell ref="F23:G23"/>
    <mergeCell ref="B20:E20"/>
    <mergeCell ref="B21:E21"/>
    <mergeCell ref="F21:G21"/>
    <mergeCell ref="J21:M21"/>
    <mergeCell ref="B22:G22"/>
    <mergeCell ref="H22:I22"/>
    <mergeCell ref="J22:M25"/>
    <mergeCell ref="B23:E23"/>
    <mergeCell ref="H23:I25"/>
    <mergeCell ref="B24:E24"/>
    <mergeCell ref="B25:E25"/>
    <mergeCell ref="F25:G25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UNIH8 HZ (custos)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Lima</dc:creator>
  <cp:lastModifiedBy>Anderson Lima</cp:lastModifiedBy>
  <dcterms:created xsi:type="dcterms:W3CDTF">2026-01-29T01:02:20Z</dcterms:created>
  <dcterms:modified xsi:type="dcterms:W3CDTF">2026-01-29T01:04:18Z</dcterms:modified>
</cp:coreProperties>
</file>